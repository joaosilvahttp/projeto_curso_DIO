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rafa\OneDrive\Documentos\"/>
    </mc:Choice>
  </mc:AlternateContent>
  <xr:revisionPtr revIDLastSave="0" documentId="13_ncr:1_{CBCF5DF4-C9F5-4345-93D3-1E828DDDABCE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<sst xmlns="http://schemas.openxmlformats.org/spreadsheetml/2006/main" count="71" uniqueCount="34">
  <si>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INVESTIMENTO MENSAL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</si>
  <si>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</si>
  <si>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</si>
  <si>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</si>
  <si>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</si>
  <si>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</si>
  <si>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</si>
  <si>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</si>
  <si>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</si>
  <si>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</si>
  <si>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</si>
  <si>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</si>
  <si>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</si>
  <si>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</si>
  <si>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</si>
  <si>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</si>
  <si>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</si>
  <si>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</si>
  <si>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</si>
  <si>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</si>
  <si>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</si>
  <si>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</si>
  <si>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</si>
  <si>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</si>
  <si>
    <t xml:space="preserve">Quanto em 2 Anos </t>
  </si>
  <si>
    <t xml:space="preserve">Quanto em 5 Anos </t>
  </si>
  <si>
    <t xml:space="preserve">Quanto em 10 Anos </t>
  </si>
  <si>
    <t xml:space="preserve">Quanto em 20 Anos </t>
  </si>
  <si>
    <t xml:space="preserve">Quanto em 30 Anos </t>
  </si>
  <si>
    <t xml:space="preserve">Quanto investir por mês </t>
  </si>
  <si>
    <t xml:space="preserve">Por Quantos Anos </t>
  </si>
  <si>
    <t xml:space="preserve">Taxa de Rendimento mensal </t>
  </si>
  <si>
    <t xml:space="preserve">Patrimônio acumulado </t>
  </si>
  <si>
    <t xml:space="preserve">Dividendos Mensais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</si>
</sst>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4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2" fillId="2" borderId="0" xfId="2" applyFont="1" applyFill="1"/>
    <xf numFmtId="0" fontId="4" fillId="6" borderId="0" xfId="0" applyFont="1" applyFill="1"/>
    <xf numFmtId="0" fontId="4" fillId="6" borderId="0" xfId="0" applyFont="1" applyFill="1" applyAlignment="1">
      <alignment horizontal="center"/>
    </xf>
    <xf numFmtId="0" fontId="9" fillId="4" borderId="14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7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9" fillId="4" borderId="20" xfId="0" applyFont="1" applyFill="1" applyBorder="1" applyAlignment="1">
      <alignment horizontal="left" indent="3"/>
    </xf>
    <xf numFmtId="0" fontId="9" fillId="4" borderId="21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5" fillId="7" borderId="1" xfId="0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13" fillId="6" borderId="0" xfId="0" applyFont="1" applyFill="1"/>
    <xf numFmtId="164" fontId="13" fillId="6" borderId="0" xfId="0" applyNumberFormat="1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EC-42AB-B39D-DAB0CC1F2C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EC-42AB-B39D-DAB0CC1F2C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EC-42AB-B39D-DAB0CC1F2C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6EC-42AB-B39D-DAB0CC1F2C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6EC-42AB-B39D-DAB0CC1F2C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6EC-42AB-B39D-DAB0CC1F2CA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374072</xdr:colOff>
      <xdr:row>0</xdr:row>
      <xdr:rowOff>166255</xdr:rowOff>
    </xdr:from>
    <xdr:to>
      <xdr:col>4</xdr:col>
      <xdr:colOff>0</xdr:colOff>
      <xdr:row>7</xdr:row>
      <xdr:rowOff>76200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3B6513B-F099-6881-2775-B52B6FB5C23C}"/>
            </a:ext>
          </a:extLst>
        </xdr:cNvPr>
        <xdr:cNvSpPr/>
      </xdr:nvSpPr>
      <xdr:spPr>
        <a:xfrm>
          <a:off x="374072" y="166255"/>
          <a:ext cx="5437910" cy="117070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 b="1">
              <a:latin typeface="Aharoni" panose="020F0502020204030204" pitchFamily="2" charset="-79"/>
              <a:cs typeface="Aharoni" panose="020F0502020204030204" pitchFamily="2" charset="-79"/>
            </a:rPr>
            <a:t>SIMULACRED</a:t>
          </a:r>
        </a:p>
      </xdr:txBody>
    </xdr:sp>
    <xdr:clientData/>
  </xdr:twoCellAnchor>
  <xdr:twoCellAnchor editAs="oneCell">
    <xdr:from>
      <xdr:col>1</xdr:col>
      <xdr:colOff>498764</xdr:colOff>
      <xdr:row>1</xdr:row>
      <xdr:rowOff>48490</xdr:rowOff>
    </xdr:from>
    <xdr:to>
      <xdr:col>1</xdr:col>
      <xdr:colOff>1413164</xdr:colOff>
      <xdr:row>6</xdr:row>
      <xdr:rowOff>62344</xdr:rowOff>
    </xdr:to>
    <xdr:pic>
      <xdr:nvPicPr>
        <xdr:cNvPr id="5" name="Gráfico 4" descr="Banco com preenchimento sólido">
          <a:extLst>
            <a:ext uri="{FF2B5EF4-FFF2-40B4-BE49-F238E27FC236}">
              <a16:creationId xmlns:a16="http://schemas.microsoft.com/office/drawing/2014/main" id="{1A1FAE75-AACD-40AA-3117-32321B335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72837" y="228599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2:H71"/>
  <sheetViews>
    <sheetView showGridLines="0" tabSelected="1" zoomScale="110" zoomScaleNormal="110" workbookViewId="0">
      <selection activeCell="D21" sqref="D21"/>
    </sheetView>
  </sheetViews>
  <sheetFormatPr defaultColWidth="0" defaultRowHeight="14.4" x14ac:dyDescent="0.3"/>
  <cols>
    <col min="1" max="1" width="5.44140625" customWidth="1"/>
    <col min="2" max="2" width="46.77734375" customWidth="1"/>
    <col min="3" max="3" width="17.44140625" bestFit="1" customWidth="1"/>
    <col min="4" max="4" width="15" customWidth="1"/>
    <col min="5" max="8" width="3.5546875" customWidth="1"/>
    <col min="9" max="16384" width="8.77734375" hidden="1"/>
  </cols>
  <sheetData>
    <row r="2" spans="2:5" x14ac:dyDescent="0.3">
      <c r="B2" s="56"/>
      <c r="C2" s="56"/>
      <c r="D2" s="56"/>
      <c r="E2" s="56"/>
    </row>
    <row r="3" spans="2:5" x14ac:dyDescent="0.3">
      <c r="B3" s="56"/>
      <c r="C3" s="56"/>
      <c r="D3" s="56"/>
      <c r="E3" s="56"/>
    </row>
    <row r="4" spans="2:5" x14ac:dyDescent="0.3">
      <c r="B4" s="56"/>
      <c r="C4" s="56"/>
      <c r="D4" s="56"/>
      <c r="E4" s="56"/>
    </row>
    <row r="5" spans="2:5" x14ac:dyDescent="0.3">
      <c r="B5" s="56"/>
      <c r="C5" s="56"/>
      <c r="D5" s="56"/>
      <c r="E5" s="56"/>
    </row>
    <row r="6" spans="2:5" x14ac:dyDescent="0.3">
      <c r="B6" s="56"/>
      <c r="C6" s="56"/>
      <c r="D6" s="56"/>
      <c r="E6" s="56"/>
    </row>
    <row r="7" spans="2:5" x14ac:dyDescent="0.3">
      <c r="B7" s="56"/>
      <c r="C7" s="56"/>
      <c r="D7" s="56"/>
      <c r="E7" s="56"/>
    </row>
    <row r="8" spans="2:5" x14ac:dyDescent="0.3">
      <c r="B8" s="56"/>
      <c r="C8" s="56"/>
      <c r="D8" s="56"/>
      <c r="E8" s="56"/>
    </row>
    <row r="10" spans="2:5" ht="15" thickBot="1" x14ac:dyDescent="0.35"/>
    <row r="11" spans="2:5" ht="27" x14ac:dyDescent="0.4">
      <c r="B11" s="46" t="s">
        <v>5</v>
      </c>
      <c r="C11" s="47"/>
      <c r="D11" s="48"/>
    </row>
    <row r="12" spans="2:5" ht="19.2" x14ac:dyDescent="0.45">
      <c r="B12" s="36" t="s">
        <v>4</v>
      </c>
      <c r="C12" s="37"/>
      <c r="D12" s="19">
        <v>3500</v>
      </c>
    </row>
    <row r="13" spans="2:5" ht="19.2" x14ac:dyDescent="0.45">
      <c r="B13" s="38" t="s">
        <v>3</v>
      </c>
      <c r="C13" s="39"/>
      <c r="D13" s="20">
        <v>6.0000000000000001E-3</v>
      </c>
    </row>
    <row r="14" spans="2:5" ht="19.8" thickBot="1" x14ac:dyDescent="0.5">
      <c r="B14" s="42" t="s">
        <v>23</v>
      </c>
      <c r="C14" s="43"/>
      <c r="D14" s="21">
        <f>D12*30%</f>
        <v>1050</v>
      </c>
    </row>
    <row r="15" spans="2:5" ht="15" thickBot="1" x14ac:dyDescent="0.35"/>
    <row r="16" spans="2:5" ht="28.5" customHeight="1" x14ac:dyDescent="0.3">
      <c r="B16" s="49" t="s">
        <v>0</v>
      </c>
      <c r="C16" s="50"/>
      <c r="D16" s="51"/>
    </row>
    <row r="17" spans="1:6" ht="19.2" x14ac:dyDescent="0.45">
      <c r="B17" s="36" t="s">
        <v>29</v>
      </c>
      <c r="C17" s="37"/>
      <c r="D17" s="14">
        <v>600</v>
      </c>
    </row>
    <row r="18" spans="1:6" ht="19.2" x14ac:dyDescent="0.45">
      <c r="B18" s="38" t="s">
        <v>30</v>
      </c>
      <c r="C18" s="39"/>
      <c r="D18" s="15">
        <v>1</v>
      </c>
    </row>
    <row r="19" spans="1:6" ht="19.2" x14ac:dyDescent="0.45">
      <c r="B19" s="38" t="s">
        <v>31</v>
      </c>
      <c r="C19" s="39"/>
      <c r="D19" s="16">
        <v>1.0789999999999999E-2</v>
      </c>
    </row>
    <row r="20" spans="1:6" ht="19.2" x14ac:dyDescent="0.45">
      <c r="B20" s="44" t="s">
        <v>32</v>
      </c>
      <c r="C20" s="45"/>
      <c r="D20" s="17">
        <f>FV(taxa_mensal,qtd_anos*12,aporte*-1)</f>
        <v>7643.0316003339358</v>
      </c>
    </row>
    <row r="21" spans="1:6" ht="19.8" thickBot="1" x14ac:dyDescent="0.5">
      <c r="B21" s="40" t="s">
        <v>33</v>
      </c>
      <c r="C21" s="41"/>
      <c r="D21" s="18">
        <f>patrimonio*rendimento_carteira</f>
        <v>45.858189602003613</v>
      </c>
      <c r="F21" s="3"/>
    </row>
    <row r="22" spans="1:6" ht="15" thickBot="1" x14ac:dyDescent="0.35"/>
    <row r="23" spans="1:6" ht="29.4" x14ac:dyDescent="0.3">
      <c r="B23" s="49" t="s">
        <v>1</v>
      </c>
      <c r="C23" s="50"/>
      <c r="D23" s="52" t="s">
        <v>2</v>
      </c>
    </row>
    <row r="24" spans="1:6" ht="19.2" x14ac:dyDescent="0.45">
      <c r="A24" s="1">
        <v>2</v>
      </c>
      <c r="B24" s="5" t="s">
        <v>24</v>
      </c>
      <c r="C24" s="6">
        <f>FV($D$19,$A24*12,$D$17*-1)</f>
        <v>16336.57637858713</v>
      </c>
      <c r="D24" s="7">
        <f>C24*rendimento_carteira</f>
        <v>98.01945827152278</v>
      </c>
    </row>
    <row r="25" spans="1:6" ht="19.2" x14ac:dyDescent="0.45">
      <c r="A25" s="1">
        <v>5</v>
      </c>
      <c r="B25" s="8" t="s">
        <v>25</v>
      </c>
      <c r="C25" s="9">
        <f>FV($D$19,$A25*12,$D$17*-1)</f>
        <v>50266.148399092584</v>
      </c>
      <c r="D25" s="10">
        <f>C25*rendimento_carteira</f>
        <v>301.59689039455549</v>
      </c>
    </row>
    <row r="26" spans="1:6" ht="19.2" x14ac:dyDescent="0.45">
      <c r="A26" s="1">
        <v>10</v>
      </c>
      <c r="B26" s="8" t="s">
        <v>26</v>
      </c>
      <c r="C26" s="9">
        <f>FV($D$19,$A26*12,$D$17*-1)</f>
        <v>145970.52751810331</v>
      </c>
      <c r="D26" s="10">
        <f>C26*rendimento_carteira</f>
        <v>875.82316510861983</v>
      </c>
    </row>
    <row r="27" spans="1:6" ht="19.2" x14ac:dyDescent="0.45">
      <c r="A27" s="1">
        <v>20</v>
      </c>
      <c r="B27" s="8" t="s">
        <v>27</v>
      </c>
      <c r="C27" s="9">
        <f>FV($D$19,$A27*12,$D$17*-1)</f>
        <v>675119.04005824833</v>
      </c>
      <c r="D27" s="10">
        <f>C27*rendimento_carteira</f>
        <v>4050.71424034949</v>
      </c>
    </row>
    <row r="28" spans="1:6" ht="19.8" thickBot="1" x14ac:dyDescent="0.5">
      <c r="A28" s="1">
        <v>30</v>
      </c>
      <c r="B28" s="11" t="s">
        <v>28</v>
      </c>
      <c r="C28" s="12">
        <f>FV($D$19,$A28*12,$D$17*-1)</f>
        <v>2593301.7930028285</v>
      </c>
      <c r="D28" s="13">
        <f>C28*rendimento_carteira</f>
        <v>15559.810758016971</v>
      </c>
    </row>
    <row r="32" spans="1:6" x14ac:dyDescent="0.3">
      <c r="B32" s="22" t="s">
        <v>10</v>
      </c>
      <c r="C32" s="23" t="s">
        <v>6</v>
      </c>
      <c r="D32" s="22"/>
    </row>
    <row r="33" spans="2:4" x14ac:dyDescent="0.3">
      <c r="B33" s="24" t="s">
        <v>9</v>
      </c>
      <c r="C33" s="25">
        <f>aporte</f>
        <v>600</v>
      </c>
      <c r="D33" s="24"/>
    </row>
    <row r="35" spans="2:4" x14ac:dyDescent="0.3">
      <c r="B35" s="55" t="s">
        <v>11</v>
      </c>
      <c r="C35" s="55" t="s">
        <v>12</v>
      </c>
      <c r="D35" s="55" t="s">
        <v>13</v>
      </c>
    </row>
    <row r="36" spans="2:4" x14ac:dyDescent="0.3">
      <c r="B36" s="2" t="s">
        <v>14</v>
      </c>
      <c r="C36" s="4">
        <f>VLOOKUP($C$32&amp;"-"&amp;B36,Planilha2!$A:$D,4,FALSE)</f>
        <v>0.3</v>
      </c>
      <c r="D36" s="26">
        <f>C36*$C$33</f>
        <v>180</v>
      </c>
    </row>
    <row r="37" spans="2:4" x14ac:dyDescent="0.3">
      <c r="B37" s="2" t="s">
        <v>15</v>
      </c>
      <c r="C37" s="4">
        <f>VLOOKUP($C$32&amp;"-"&amp;B37,Planilha2!$A:$D,4,FALSE)</f>
        <v>0.5</v>
      </c>
      <c r="D37" s="26">
        <f t="shared" ref="D37:D41" si="0">C37*$C$33</f>
        <v>300</v>
      </c>
    </row>
    <row r="38" spans="2:4" x14ac:dyDescent="0.3">
      <c r="B38" s="2" t="s">
        <v>16</v>
      </c>
      <c r="C38" s="4">
        <f>VLOOKUP($C$32&amp;"-"&amp;B38,Planilha2!$A:$D,4,FALSE)</f>
        <v>0.1</v>
      </c>
      <c r="D38" s="26">
        <f t="shared" si="0"/>
        <v>60</v>
      </c>
    </row>
    <row r="39" spans="2:4" x14ac:dyDescent="0.3">
      <c r="B39" s="2" t="s">
        <v>17</v>
      </c>
      <c r="C39" s="4">
        <f>VLOOKUP($C$32&amp;"-"&amp;B39,Planilha2!$A:$D,4,FALSE)</f>
        <v>0.1</v>
      </c>
      <c r="D39" s="26">
        <f t="shared" si="0"/>
        <v>60</v>
      </c>
    </row>
    <row r="40" spans="2:4" x14ac:dyDescent="0.3">
      <c r="B40" s="2" t="s">
        <v>18</v>
      </c>
      <c r="C40" s="4">
        <f>VLOOKUP($C$32&amp;"-"&amp;B40,Planilha2!$A:$D,4,FALSE)</f>
        <v>0</v>
      </c>
      <c r="D40" s="26">
        <f t="shared" si="0"/>
        <v>0</v>
      </c>
    </row>
    <row r="41" spans="2:4" x14ac:dyDescent="0.3">
      <c r="B41" s="2" t="s">
        <v>19</v>
      </c>
      <c r="C41" s="4">
        <f>VLOOKUP($C$32&amp;"-"&amp;B41,Planilha2!$A:$D,4,FALSE)</f>
        <v>0</v>
      </c>
      <c r="D41" s="26">
        <f t="shared" si="0"/>
        <v>0</v>
      </c>
    </row>
    <row r="42" spans="2:4" x14ac:dyDescent="0.3">
      <c r="B42" s="53"/>
      <c r="C42" s="53"/>
      <c r="D42" s="54">
        <f>SUM(D36:D41)</f>
        <v>600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</sheetData>
  <mergeCells count="11">
    <mergeCell ref="B2:E8"/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34" t="s">
        <v>21</v>
      </c>
      <c r="B2" s="34" t="s">
        <v>10</v>
      </c>
      <c r="C2" s="35" t="s">
        <v>11</v>
      </c>
      <c r="D2" s="35" t="s">
        <v>20</v>
      </c>
    </row>
    <row r="3" spans="1:8" x14ac:dyDescent="0.3">
      <c r="A3" t="str">
        <f>B3&amp;"-"&amp;C3</f>
        <v>Conservador-PAPEL</v>
      </c>
      <c r="B3" t="s">
        <v>6</v>
      </c>
      <c r="C3" s="2" t="s">
        <v>14</v>
      </c>
      <c r="D3" s="4">
        <v>0.3</v>
      </c>
      <c r="H3" t="s">
        <v>20</v>
      </c>
    </row>
    <row r="4" spans="1:8" x14ac:dyDescent="0.3">
      <c r="A4" t="str">
        <f t="shared" ref="A4:A20" si="0">B4&amp;"-"&amp;C4</f>
        <v>Conservador-TIJOLO</v>
      </c>
      <c r="B4" t="s">
        <v>6</v>
      </c>
      <c r="C4" s="2" t="s">
        <v>15</v>
      </c>
      <c r="D4" s="4">
        <v>0.5</v>
      </c>
      <c r="G4" s="22" t="s">
        <v>22</v>
      </c>
      <c r="H4" s="33">
        <f>VLOOKUP(G4,$A:$D,4,FALSE)</f>
        <v>0.35</v>
      </c>
    </row>
    <row r="5" spans="1:8" x14ac:dyDescent="0.3">
      <c r="A5" t="str">
        <f t="shared" si="0"/>
        <v>Conservador-HÍBRIDOS</v>
      </c>
      <c r="B5" t="s">
        <v>6</v>
      </c>
      <c r="C5" s="2" t="s">
        <v>16</v>
      </c>
      <c r="D5" s="4">
        <v>0.1</v>
      </c>
    </row>
    <row r="6" spans="1:8" x14ac:dyDescent="0.3">
      <c r="A6" t="str">
        <f t="shared" si="0"/>
        <v>Conservador-FOFs</v>
      </c>
      <c r="B6" t="s">
        <v>6</v>
      </c>
      <c r="C6" s="2" t="s">
        <v>17</v>
      </c>
      <c r="D6" s="4">
        <v>0.1</v>
      </c>
    </row>
    <row r="7" spans="1:8" x14ac:dyDescent="0.3">
      <c r="A7" t="str">
        <f t="shared" si="0"/>
        <v>Conservador-DESENVOLVIMENTO</v>
      </c>
      <c r="B7" t="s">
        <v>6</v>
      </c>
      <c r="C7" s="2" t="s">
        <v>18</v>
      </c>
      <c r="D7" s="4">
        <v>0</v>
      </c>
    </row>
    <row r="8" spans="1:8" ht="15" thickBot="1" x14ac:dyDescent="0.35">
      <c r="A8" s="27" t="str">
        <f t="shared" si="0"/>
        <v>Conservador-HOTELARIAS</v>
      </c>
      <c r="B8" s="27" t="s">
        <v>6</v>
      </c>
      <c r="C8" s="28" t="s">
        <v>19</v>
      </c>
      <c r="D8" s="29">
        <v>0</v>
      </c>
    </row>
    <row r="9" spans="1:8" x14ac:dyDescent="0.3">
      <c r="A9" t="str">
        <f t="shared" si="0"/>
        <v>Moderado-PAPEL</v>
      </c>
      <c r="B9" t="s">
        <v>7</v>
      </c>
      <c r="C9" s="2" t="s">
        <v>14</v>
      </c>
      <c r="D9" s="4">
        <v>0.32</v>
      </c>
    </row>
    <row r="10" spans="1:8" x14ac:dyDescent="0.3">
      <c r="A10" s="30" t="str">
        <f t="shared" si="0"/>
        <v>Moderado-TIJOLO</v>
      </c>
      <c r="B10" s="30" t="s">
        <v>7</v>
      </c>
      <c r="C10" s="31" t="s">
        <v>15</v>
      </c>
      <c r="D10" s="32">
        <v>0.35</v>
      </c>
    </row>
    <row r="11" spans="1:8" x14ac:dyDescent="0.3">
      <c r="A11" t="str">
        <f t="shared" si="0"/>
        <v>Moderado-HÍBRIDOS</v>
      </c>
      <c r="B11" t="s">
        <v>7</v>
      </c>
      <c r="C11" s="2" t="s">
        <v>16</v>
      </c>
      <c r="D11" s="4">
        <v>0.08</v>
      </c>
    </row>
    <row r="12" spans="1:8" x14ac:dyDescent="0.3">
      <c r="A12" t="str">
        <f t="shared" si="0"/>
        <v>Moderado-FOFs</v>
      </c>
      <c r="B12" t="s">
        <v>7</v>
      </c>
      <c r="C12" s="2" t="s">
        <v>17</v>
      </c>
      <c r="D12" s="4">
        <v>0.05</v>
      </c>
    </row>
    <row r="13" spans="1:8" x14ac:dyDescent="0.3">
      <c r="A13" t="str">
        <f t="shared" si="0"/>
        <v>Moderado-DESENVOLVIMENTO</v>
      </c>
      <c r="B13" t="s">
        <v>7</v>
      </c>
      <c r="C13" s="2" t="s">
        <v>18</v>
      </c>
      <c r="D13" s="4">
        <v>0.1</v>
      </c>
    </row>
    <row r="14" spans="1:8" ht="15" thickBot="1" x14ac:dyDescent="0.35">
      <c r="A14" s="27" t="str">
        <f t="shared" si="0"/>
        <v>Moderado-HOTELARIAS</v>
      </c>
      <c r="B14" s="27" t="s">
        <v>7</v>
      </c>
      <c r="C14" s="28" t="s">
        <v>19</v>
      </c>
      <c r="D14" s="29">
        <v>0.1</v>
      </c>
    </row>
    <row r="15" spans="1:8" x14ac:dyDescent="0.3">
      <c r="A15" t="str">
        <f t="shared" si="0"/>
        <v>Agressivo-PAPEL</v>
      </c>
      <c r="B15" t="s">
        <v>8</v>
      </c>
      <c r="C15" s="2" t="s">
        <v>14</v>
      </c>
      <c r="D15" s="4">
        <v>0.5</v>
      </c>
    </row>
    <row r="16" spans="1:8" x14ac:dyDescent="0.3">
      <c r="A16" t="str">
        <f t="shared" si="0"/>
        <v>Agressivo-TIJOLO</v>
      </c>
      <c r="B16" t="s">
        <v>8</v>
      </c>
      <c r="C16" s="2" t="s">
        <v>15</v>
      </c>
      <c r="D16" s="4">
        <v>0.1</v>
      </c>
    </row>
    <row r="17" spans="1:4" x14ac:dyDescent="0.3">
      <c r="A17" t="str">
        <f t="shared" si="0"/>
        <v>Agressivo-HÍBRIDOS</v>
      </c>
      <c r="B17" t="s">
        <v>8</v>
      </c>
      <c r="C17" s="2" t="s">
        <v>16</v>
      </c>
      <c r="D17" s="4">
        <v>0.05</v>
      </c>
    </row>
    <row r="18" spans="1:4" x14ac:dyDescent="0.3">
      <c r="A18" t="str">
        <f t="shared" si="0"/>
        <v>Agressivo-FOFs</v>
      </c>
      <c r="B18" t="s">
        <v>8</v>
      </c>
      <c r="C18" s="2" t="s">
        <v>17</v>
      </c>
      <c r="D18" s="4">
        <v>0.05</v>
      </c>
    </row>
    <row r="19" spans="1:4" x14ac:dyDescent="0.3">
      <c r="A19" t="str">
        <f t="shared" si="0"/>
        <v>Agressivo-DESENVOLVIMENTO</v>
      </c>
      <c r="B19" t="s">
        <v>8</v>
      </c>
      <c r="C19" s="2" t="s">
        <v>18</v>
      </c>
      <c r="D19" s="4">
        <v>0.2</v>
      </c>
    </row>
    <row r="20" spans="1:4" x14ac:dyDescent="0.3">
      <c r="A20" t="str">
        <f t="shared" si="0"/>
        <v>Agressivo-HOTELARIAS</v>
      </c>
      <c r="B20" t="s">
        <v>8</v>
      </c>
      <c r="C20" s="2" t="s">
        <v>19</v>
      </c>
      <c r="D20" s="4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João Manoel Oliveira da Silva</cp:lastModifiedBy>
  <dcterms:created xsi:type="dcterms:W3CDTF">2025-04-16T18:38:03Z</dcterms:created>
  <dcterms:modified xsi:type="dcterms:W3CDTF">2026-02-01T20:37:11Z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